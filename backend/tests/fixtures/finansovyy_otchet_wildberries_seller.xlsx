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тализация" sheetId="1" state="visible" r:id="rId1"/>
    <sheet xmlns:r="http://schemas.openxmlformats.org/officeDocument/2006/relationships" name="Себестоимость" sheetId="2" state="visible" r:id="rId2"/>
    <sheet xmlns:r="http://schemas.openxmlformats.org/officeDocument/2006/relationships" name="Номенклатура" sheetId="3" state="visible" r:id="rId3"/>
    <sheet xmlns:r="http://schemas.openxmlformats.org/officeDocument/2006/relationships" name="Продажи" sheetId="4" state="visible" r:id="rId4"/>
    <sheet xmlns:r="http://schemas.openxmlformats.org/officeDocument/2006/relationships" name="Расшифровка комиссии" sheetId="5" state="visible" r:id="rId5"/>
    <sheet xmlns:r="http://schemas.openxmlformats.org/officeDocument/2006/relationships" name="Грузить фин отчет" sheetId="6" state="visible" r:id="rId6"/>
    <sheet xmlns:r="http://schemas.openxmlformats.org/officeDocument/2006/relationships" name="Грузит габарит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₽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0E0E0"/>
      <sz val="10"/>
    </font>
    <font>
      <name val="Calibri"/>
      <b val="1"/>
      <color rgb="00FFFFFF"/>
      <sz val="9"/>
    </font>
    <font>
      <name val="Calibri"/>
      <b val="1"/>
      <color rgb="001F497D"/>
      <sz val="12"/>
    </font>
    <font>
      <name val="Calibri"/>
      <i val="1"/>
      <color rgb="00555555"/>
      <sz val="8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12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  <fill>
      <patternFill patternType="solid">
        <fgColor rgb="00FFFF00"/>
        <bgColor rgb="00FFFF00"/>
      </patternFill>
    </fill>
    <fill>
      <patternFill patternType="solid">
        <fgColor rgb="00FFF2CC"/>
        <bgColor rgb="00FFF2CC"/>
      </patternFill>
    </fill>
    <fill>
      <patternFill patternType="solid">
        <fgColor rgb="00385723"/>
        <bgColor rgb="00385723"/>
      </patternFill>
    </fill>
    <fill>
      <patternFill patternType="solid">
        <fgColor rgb="00A9D08E"/>
        <bgColor rgb="00A9D08E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BDD7EE"/>
        <bgColor rgb="00BDD7EE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97D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8" fillId="4" borderId="1" pivotButton="0" quotePrefix="0" xfId="0"/>
    <xf numFmtId="164" fontId="8" fillId="4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0" fontId="7" fillId="0" borderId="1" pivotButton="0" quotePrefix="0" xfId="0"/>
    <xf numFmtId="0" fontId="7" fillId="3" borderId="1" applyAlignment="1" pivotButton="0" quotePrefix="0" xfId="0">
      <alignment horizontal="left" vertical="center"/>
    </xf>
    <xf numFmtId="164" fontId="8" fillId="3" borderId="1" applyAlignment="1" pivotButton="0" quotePrefix="0" xfId="0">
      <alignment horizontal="right" vertical="center"/>
    </xf>
    <xf numFmtId="0" fontId="6" fillId="6" borderId="1" pivotButton="0" quotePrefix="0" xfId="0"/>
    <xf numFmtId="164" fontId="8" fillId="7" borderId="1" applyAlignment="1" pivotButton="0" quotePrefix="0" xfId="0">
      <alignment horizontal="right" vertical="center"/>
    </xf>
    <xf numFmtId="9" fontId="8" fillId="7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164" fontId="8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3" fontId="8" fillId="8" borderId="1" applyAlignment="1" pivotButton="0" quotePrefix="0" xfId="0">
      <alignment horizontal="center" vertical="center"/>
    </xf>
    <xf numFmtId="9" fontId="7" fillId="0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2" fontId="7" fillId="5" borderId="1" applyAlignment="1" pivotButton="0" quotePrefix="0" xfId="0">
      <alignment horizontal="center" vertical="center"/>
    </xf>
    <xf numFmtId="0" fontId="8" fillId="9" borderId="1" pivotButton="0" quotePrefix="0" xfId="0"/>
    <xf numFmtId="164" fontId="8" fillId="9" borderId="1" applyAlignment="1" pivotButton="0" quotePrefix="0" xfId="0">
      <alignment horizontal="right" vertical="center"/>
    </xf>
    <xf numFmtId="9" fontId="7" fillId="10" borderId="1" applyAlignment="1" pivotButton="0" quotePrefix="0" xfId="0">
      <alignment horizontal="right" vertical="center"/>
    </xf>
    <xf numFmtId="9" fontId="8" fillId="8" borderId="1" applyAlignment="1" pivotButton="0" quotePrefix="0" xfId="0">
      <alignment horizontal="center" vertical="center"/>
    </xf>
    <xf numFmtId="0" fontId="8" fillId="11" borderId="1" pivotButton="0" quotePrefix="0" xfId="0"/>
    <xf numFmtId="164" fontId="8" fillId="11" borderId="1" applyAlignment="1" pivotButton="0" quotePrefix="0" xfId="0">
      <alignment horizontal="right" vertical="center"/>
    </xf>
    <xf numFmtId="9" fontId="8" fillId="8" borderId="1" applyAlignment="1" pivotButton="0" quotePrefix="0" xfId="0">
      <alignment horizontal="right" vertical="center"/>
    </xf>
    <xf numFmtId="1" fontId="7" fillId="0" borderId="1" applyAlignment="1" pivotButton="0" quotePrefix="0" xfId="0">
      <alignment horizontal="center" vertical="center"/>
    </xf>
    <xf numFmtId="1" fontId="7" fillId="3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right" vertical="center"/>
    </xf>
    <xf numFmtId="0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right" vertical="center"/>
    </xf>
    <xf numFmtId="3" fontId="7" fillId="0" borderId="1" applyAlignment="1" pivotButton="0" quotePrefix="0" xfId="0">
      <alignment horizontal="right" vertical="center"/>
    </xf>
    <xf numFmtId="2" fontId="8" fillId="8" borderId="1" applyAlignment="1" pivotButton="0" quotePrefix="0" xfId="0">
      <alignment horizontal="right" vertical="center"/>
    </xf>
    <xf numFmtId="3" fontId="7" fillId="3" borderId="1" applyAlignment="1" pivotButton="0" quotePrefix="0" xfId="0">
      <alignment horizontal="right" vertical="center"/>
    </xf>
    <xf numFmtId="3" fontId="8" fillId="0" borderId="1" applyAlignment="1" pivotButton="0" quotePrefix="0" xfId="0">
      <alignment horizontal="center" vertical="center"/>
    </xf>
    <xf numFmtId="3" fontId="8" fillId="3" borderId="1" applyAlignment="1" pivotButton="0" quotePrefix="0" xfId="0">
      <alignment horizontal="center" vertical="center"/>
    </xf>
    <xf numFmtId="3" fontId="8" fillId="0" borderId="2" applyAlignment="1" pivotButton="0" quotePrefix="0" xfId="0">
      <alignment horizontal="center" vertical="center"/>
    </xf>
    <xf numFmtId="165" fontId="7" fillId="0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0" fontId="8" fillId="9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right" vertical="center"/>
    </xf>
    <xf numFmtId="165" fontId="8" fillId="3" borderId="1" applyAlignment="1" pivotButton="0" quotePrefix="0" xfId="0">
      <alignment horizontal="right" vertical="center"/>
    </xf>
    <xf numFmtId="2" fontId="7" fillId="0" borderId="1" applyAlignment="1" pivotButton="0" quotePrefix="0" xfId="0">
      <alignment horizontal="right" vertical="center"/>
    </xf>
    <xf numFmtId="2" fontId="7" fillId="0" borderId="1" applyAlignment="1" pivotButton="0" quotePrefix="0" xfId="0">
      <alignment horizontal="center" vertical="center"/>
    </xf>
    <xf numFmtId="164" fontId="8" fillId="8" borderId="1" applyAlignment="1" pivotButton="0" quotePrefix="0" xfId="0">
      <alignment horizontal="right" vertical="center"/>
    </xf>
    <xf numFmtId="2" fontId="7" fillId="3" borderId="1" applyAlignment="1" pivotButton="0" quotePrefix="0" xfId="0">
      <alignment horizontal="right" vertical="center"/>
    </xf>
    <xf numFmtId="2" fontId="7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Структура финансовых результатов недели (руб.)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'Детализация'!I13</f>
            </strRef>
          </tx>
          <spPr>
            <a:ln xmlns:a="http://schemas.openxmlformats.org/drawingml/2006/main">
              <a:prstDash val="solid"/>
            </a:ln>
          </spPr>
          <cat>
            <numRef>
              <f>'Детализация'!$H$14:$H$19</f>
            </numRef>
          </cat>
          <val>
            <numRef>
              <f>'Детализация'!$I$14:$I$19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Категория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Сумма (руб.)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Себестоимость товаров по артикулам (руб./шт.)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'Себестоимость'!G4</f>
            </strRef>
          </tx>
          <spPr>
            <a:ln xmlns:a="http://schemas.openxmlformats.org/drawingml/2006/main">
              <a:prstDash val="solid"/>
            </a:ln>
          </spPr>
          <cat>
            <numRef>
              <f>'Себестоимость'!$A$5:$A$10</f>
            </numRef>
          </cat>
          <val>
            <numRef>
              <f>'Себестоимость'!$G$5:$G$10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Артикул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50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12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1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32" customWidth="1" min="3" max="3"/>
    <col width="28" customWidth="1" min="4" max="4"/>
    <col width="23" customWidth="1" min="5" max="5"/>
    <col width="12" customWidth="1" min="6" max="6"/>
    <col width="12" customWidth="1" min="7" max="7"/>
    <col width="26" customWidth="1" min="8" max="8"/>
    <col width="16" customWidth="1" min="9" max="9"/>
  </cols>
  <sheetData>
    <row r="1" ht="26" customHeight="1">
      <c r="A1" s="1" t="inlineStr">
        <is>
          <t>ЕЖЕНЕДЕЛЬНЫЙ ФИНАНСОВЫЙ ОТЧЕТ СЕЛЛЕРА НА WILDBERRIES (P&amp;L)</t>
        </is>
      </c>
      <c r="B1" s="1" t="n"/>
      <c r="C1" s="1" t="n"/>
      <c r="D1" s="1" t="n"/>
      <c r="E1" s="1" t="n"/>
      <c r="F1" s="1" t="n"/>
    </row>
    <row r="2" ht="18" customHeight="1">
      <c r="A2" s="2" t="inlineStr">
        <is>
          <t>ООО «Ошейд» (Бренд OBBA) | Еженедельный отчет № 12849502 | Период реализации: 06.10.2025 – 12.10.2025</t>
        </is>
      </c>
      <c r="B2" s="2" t="n"/>
      <c r="C2" s="2" t="n"/>
      <c r="D2" s="2" t="n"/>
      <c r="E2" s="2" t="n"/>
      <c r="F2" s="2" t="n"/>
    </row>
    <row r="3"/>
    <row r="4" ht="18" customHeight="1">
      <c r="A4" s="3" t="inlineStr">
        <is>
          <t>Выручка с СПП (Факт)</t>
        </is>
      </c>
      <c r="B4" s="3" t="n"/>
      <c r="C4" s="3" t="inlineStr">
        <is>
          <t>Расходы WB</t>
        </is>
      </c>
      <c r="D4" s="3" t="inlineStr">
        <is>
          <t>К выплате на р/с</t>
        </is>
      </c>
      <c r="E4" s="3" t="inlineStr">
        <is>
          <t>Чистая прибыль (ROI)</t>
        </is>
      </c>
      <c r="F4" s="3" t="n"/>
    </row>
    <row r="5" ht="22" customHeight="1">
      <c r="A5" s="4" t="inlineStr">
        <is>
          <t>92 794,24 ₽</t>
        </is>
      </c>
      <c r="B5" s="4" t="n"/>
      <c r="C5" s="4" t="inlineStr">
        <is>
          <t>25 563,35 ₽</t>
        </is>
      </c>
      <c r="D5" s="4" t="inlineStr">
        <is>
          <t>68 118,30 ₽</t>
        </is>
      </c>
      <c r="E5" s="4" t="inlineStr">
        <is>
          <t>19 091,70 ₽</t>
        </is>
      </c>
      <c r="F5" s="4" t="n"/>
    </row>
    <row r="6" ht="16" customHeight="1">
      <c r="A6" s="5" t="inlineStr">
        <is>
          <t>Розничная: 109 457,56 ₽</t>
        </is>
      </c>
      <c r="B6" s="5" t="n"/>
      <c r="C6" s="5" t="inlineStr">
        <is>
          <t>Доля: 27,5% от продаж</t>
        </is>
      </c>
      <c r="D6" s="5" t="inlineStr">
        <is>
          <t>73,4% от реализации</t>
        </is>
      </c>
      <c r="E6" s="5" t="inlineStr">
        <is>
          <t>Чистая рентабельность: 21%</t>
        </is>
      </c>
      <c r="F6" s="5" t="n"/>
    </row>
    <row r="7"/>
    <row r="8"/>
    <row r="9"/>
    <row r="10"/>
    <row r="11"/>
    <row r="12"/>
    <row r="13" ht="24" customHeight="1">
      <c r="A13" s="6" t="inlineStr">
        <is>
          <t>Статья отчета WB</t>
        </is>
      </c>
      <c r="B13" s="6" t="inlineStr">
        <is>
          <t>Примечание / База</t>
        </is>
      </c>
      <c r="C13" s="6" t="inlineStr">
        <is>
          <t>Цена до скидки (прейскурант)</t>
        </is>
      </c>
      <c r="D13" s="6" t="inlineStr">
        <is>
          <t>Фактическая сумма (руб.)</t>
        </is>
      </c>
      <c r="E13" s="6" t="inlineStr">
        <is>
          <t>Количество / Индекс</t>
        </is>
      </c>
      <c r="F13" s="6" t="inlineStr">
        <is>
          <t>Доля (%)</t>
        </is>
      </c>
      <c r="H13" s="7" t="inlineStr">
        <is>
          <t>Статья</t>
        </is>
      </c>
      <c r="I13" s="7" t="inlineStr">
        <is>
          <t>Сумма (руб.)</t>
        </is>
      </c>
    </row>
    <row r="14" ht="19" customHeight="1">
      <c r="A14" s="8" t="inlineStr">
        <is>
          <t>Продажа</t>
        </is>
      </c>
      <c r="B14" s="9" t="n">
        <v>92794.24000000001</v>
      </c>
      <c r="C14" s="10" t="n">
        <v>109457.56</v>
      </c>
      <c r="D14" s="9" t="n">
        <v>92794.24000000001</v>
      </c>
      <c r="E14" s="11" t="n"/>
      <c r="F14" s="11" t="n"/>
      <c r="H14" s="12" t="inlineStr">
        <is>
          <t>Выручка от продаж</t>
        </is>
      </c>
      <c r="I14" s="13">
        <f>D14</f>
        <v/>
      </c>
    </row>
    <row r="15" ht="19" customHeight="1">
      <c r="A15" s="14" t="inlineStr">
        <is>
          <t>Расходы ВБ</t>
        </is>
      </c>
      <c r="B15" s="11" t="n"/>
      <c r="C15" s="11" t="n"/>
      <c r="D15" s="15">
        <f>D16+D21+D22+D23+D24+D25+D26+D27+D28+D29+D30+D31+D32+D33+D34+D35+D36+D37+D38+D39+D40+D41+D42+D43</f>
        <v/>
      </c>
      <c r="E15" s="11" t="n"/>
      <c r="F15" s="16">
        <f>D15/C14</f>
        <v/>
      </c>
      <c r="H15" s="17" t="inlineStr">
        <is>
          <t>Расходы Wildberries</t>
        </is>
      </c>
      <c r="I15" s="18">
        <f>D15</f>
        <v/>
      </c>
    </row>
    <row r="16" ht="19" customHeight="1">
      <c r="A16" s="11" t="inlineStr">
        <is>
          <t>Логистика</t>
        </is>
      </c>
      <c r="B16" s="11" t="n"/>
      <c r="C16" s="11" t="n"/>
      <c r="D16" s="19">
        <f>D17+D18</f>
        <v/>
      </c>
      <c r="E16" s="20" t="n">
        <v>62</v>
      </c>
      <c r="F16" s="21">
        <f>D16/D15</f>
        <v/>
      </c>
      <c r="H16" s="12" t="inlineStr">
        <is>
          <t>К перечислению на р/с</t>
        </is>
      </c>
      <c r="I16" s="13">
        <f>D45</f>
        <v/>
      </c>
    </row>
    <row r="17" ht="19" customHeight="1">
      <c r="A17" s="11" t="inlineStr">
        <is>
          <t>Логистика за заказ</t>
        </is>
      </c>
      <c r="B17" s="11" t="n"/>
      <c r="C17" s="11" t="n"/>
      <c r="D17" s="19" t="n">
        <v>17395.29</v>
      </c>
      <c r="E17" s="11" t="n"/>
      <c r="F17" s="11" t="n"/>
      <c r="H17" s="17" t="inlineStr">
        <is>
          <t>Себестоимость товаров</t>
        </is>
      </c>
      <c r="I17" s="18">
        <f>D46</f>
        <v/>
      </c>
    </row>
    <row r="18" ht="19" customHeight="1">
      <c r="A18" s="11" t="inlineStr">
        <is>
          <t>Логистика за отказ (обратная логистика)</t>
        </is>
      </c>
      <c r="B18" s="22" t="inlineStr">
        <is>
          <t>Новая обратная логистика</t>
        </is>
      </c>
      <c r="C18" s="11" t="n"/>
      <c r="D18" s="19" t="n">
        <v>1839.38</v>
      </c>
      <c r="E18" s="11" t="n"/>
      <c r="F18" s="11" t="n"/>
      <c r="H18" s="12" t="inlineStr">
        <is>
          <t>Налог УСН</t>
        </is>
      </c>
      <c r="I18" s="13">
        <f>D47</f>
        <v/>
      </c>
    </row>
    <row r="19" ht="19" customHeight="1">
      <c r="A19" s="11" t="inlineStr">
        <is>
          <t>Индекс распределения</t>
        </is>
      </c>
      <c r="B19" s="11" t="n"/>
      <c r="C19" s="11" t="n"/>
      <c r="D19" s="11" t="n"/>
      <c r="E19" s="23" t="n">
        <v>1</v>
      </c>
      <c r="F19" s="11" t="n"/>
      <c r="H19" s="17" t="inlineStr">
        <is>
          <t>Чистая прибыль селлера</t>
        </is>
      </c>
      <c r="I19" s="18">
        <f>D48</f>
        <v/>
      </c>
    </row>
    <row r="20" ht="19" customHeight="1">
      <c r="A20" s="11" t="inlineStr">
        <is>
          <t>Индекс локализации</t>
        </is>
      </c>
      <c r="B20" s="11" t="n"/>
      <c r="C20" s="11" t="n"/>
      <c r="D20" s="11" t="n"/>
      <c r="E20" s="23" t="n">
        <v>1</v>
      </c>
      <c r="F20" s="11" t="n"/>
    </row>
    <row r="21" ht="19" customHeight="1">
      <c r="A21" s="11" t="inlineStr">
        <is>
          <t>Хранение</t>
        </is>
      </c>
      <c r="B21" s="11" t="n"/>
      <c r="C21" s="11" t="n"/>
      <c r="D21" s="19" t="n">
        <v>441.27</v>
      </c>
      <c r="E21" s="11" t="n"/>
      <c r="F21" s="21">
        <f>D21/D15</f>
        <v/>
      </c>
    </row>
    <row r="22" ht="19" customHeight="1">
      <c r="A22" s="11" t="inlineStr">
        <is>
          <t>Платная приемка</t>
        </is>
      </c>
      <c r="B22" s="11" t="n"/>
      <c r="C22" s="11" t="n"/>
      <c r="D22" s="19" t="n">
        <v>0</v>
      </c>
      <c r="E22" s="11" t="n"/>
      <c r="F22" s="21">
        <f>IF(D15&gt;0,D22/D15,0)</f>
        <v/>
      </c>
    </row>
    <row r="23" ht="19" customHeight="1">
      <c r="A23" s="11" t="inlineStr">
        <is>
          <t>Расходы на продвижение</t>
        </is>
      </c>
      <c r="B23" s="11" t="n"/>
      <c r="C23" s="11" t="n"/>
      <c r="D23" s="19" t="n">
        <v>5000</v>
      </c>
      <c r="E23" s="11" t="n"/>
      <c r="F23" s="21">
        <f>D23/D15</f>
        <v/>
      </c>
    </row>
    <row r="24" ht="19" customHeight="1">
      <c r="A24" s="11" t="inlineStr">
        <is>
          <t>Кредиты/компенсации и т.д</t>
        </is>
      </c>
      <c r="B24" s="11" t="n"/>
      <c r="C24" s="11" t="n"/>
      <c r="D24" s="19" t="n">
        <v>0</v>
      </c>
      <c r="E24" s="11" t="n"/>
      <c r="F24" s="11" t="n"/>
    </row>
    <row r="25" ht="19" customHeight="1">
      <c r="A25" s="11" t="inlineStr">
        <is>
          <t>Стоимость участия в программе лояльности</t>
        </is>
      </c>
      <c r="B25" s="11" t="n"/>
      <c r="C25" s="11" t="n"/>
      <c r="D25" s="19" t="n">
        <v>0</v>
      </c>
      <c r="E25" s="11" t="n"/>
      <c r="F25" s="11" t="n"/>
    </row>
    <row r="26" ht="19" customHeight="1">
      <c r="A26" s="11" t="inlineStr">
        <is>
          <t>Удержанная за начисленные баллы программы лояльности</t>
        </is>
      </c>
      <c r="B26" s="11" t="n"/>
      <c r="C26" s="11" t="n"/>
      <c r="D26" s="19" t="n">
        <v>0</v>
      </c>
      <c r="E26" s="11" t="n"/>
      <c r="F26" s="11" t="n"/>
    </row>
    <row r="27" ht="19" customHeight="1">
      <c r="A27" s="11" t="inlineStr">
        <is>
          <t>Добровольная компенсация при возврате -</t>
        </is>
      </c>
      <c r="B27" s="11" t="n"/>
      <c r="C27" s="11" t="n"/>
      <c r="D27" s="19" t="n">
        <v>0</v>
      </c>
      <c r="E27" s="11" t="n"/>
      <c r="F27" s="21">
        <f>IF(D15&gt;0,D27/D15,0)</f>
        <v/>
      </c>
    </row>
    <row r="28" ht="19" customHeight="1">
      <c r="A28" s="11" t="inlineStr">
        <is>
          <t>Штраф</t>
        </is>
      </c>
      <c r="B28" s="11" t="n"/>
      <c r="C28" s="11" t="n"/>
      <c r="D28" s="19" t="n">
        <v>887.41</v>
      </c>
      <c r="E28" s="11" t="n"/>
      <c r="F28" s="21">
        <f>D28/D15</f>
        <v/>
      </c>
    </row>
    <row r="29" ht="19" customHeight="1">
      <c r="A29" s="11" t="inlineStr">
        <is>
          <t>Компенсация ущерба (возврат)</t>
        </is>
      </c>
      <c r="B29" s="11" t="n"/>
      <c r="C29" s="11" t="n"/>
      <c r="D29" s="19" t="n">
        <v>0</v>
      </c>
      <c r="E29" s="11" t="n"/>
      <c r="F29" s="11" t="n"/>
    </row>
    <row r="30" ht="19" customHeight="1">
      <c r="A30" s="11" t="inlineStr">
        <is>
          <t>Разовое изменение срока перечисления денежных средств</t>
        </is>
      </c>
      <c r="B30" s="11" t="n"/>
      <c r="C30" s="11" t="n"/>
      <c r="D30" s="19" t="n">
        <v>0</v>
      </c>
      <c r="E30" s="11" t="n"/>
      <c r="F30" s="11" t="n"/>
    </row>
    <row r="31" ht="19" customHeight="1">
      <c r="A31" s="11" t="inlineStr">
        <is>
          <t>Компенсация скидки по программе лояльности</t>
        </is>
      </c>
      <c r="B31" s="11" t="n"/>
      <c r="C31" s="11" t="n"/>
      <c r="D31" s="19" t="n">
        <v>0</v>
      </c>
      <c r="E31" s="11" t="n"/>
      <c r="F31" s="11" t="n"/>
    </row>
    <row r="32" ht="19" customHeight="1">
      <c r="A32" s="11" t="inlineStr">
        <is>
          <t>Добровольная компенсация при возврате +</t>
        </is>
      </c>
      <c r="B32" s="11" t="n"/>
      <c r="C32" s="11" t="n"/>
      <c r="D32" s="19" t="n">
        <v>0</v>
      </c>
      <c r="E32" s="11" t="n"/>
      <c r="F32" s="11" t="n"/>
    </row>
    <row r="33" ht="19" customHeight="1">
      <c r="A33" s="11" t="inlineStr">
        <is>
          <t>Компенсация потерянного товара</t>
        </is>
      </c>
      <c r="B33" s="11" t="n"/>
      <c r="C33" s="11" t="n"/>
      <c r="D33" s="19" t="n">
        <v>0</v>
      </c>
      <c r="E33" s="11" t="n"/>
      <c r="F33" s="11" t="n"/>
    </row>
    <row r="34" ht="19" customHeight="1">
      <c r="A34" s="11" t="inlineStr">
        <is>
          <t>Возмещение брака</t>
        </is>
      </c>
      <c r="B34" s="11" t="n"/>
      <c r="C34" s="19" t="n">
        <v>0</v>
      </c>
      <c r="D34" s="19" t="n">
        <v>0</v>
      </c>
      <c r="E34" s="11" t="n"/>
      <c r="F34" s="11" t="n"/>
    </row>
    <row r="35" ht="19" customHeight="1">
      <c r="A35" s="11" t="inlineStr">
        <is>
          <t>Компенсация подменного товара</t>
        </is>
      </c>
      <c r="B35" s="11" t="n"/>
      <c r="C35" s="19" t="n">
        <v>0</v>
      </c>
      <c r="D35" s="19" t="n">
        <v>0</v>
      </c>
      <c r="E35" s="11" t="n"/>
      <c r="F35" s="11" t="n"/>
    </row>
    <row r="36" ht="19" customHeight="1">
      <c r="A36" s="11" t="inlineStr">
        <is>
          <t>Компенсация ущерба</t>
        </is>
      </c>
      <c r="B36" s="11" t="n"/>
      <c r="C36" s="11" t="n"/>
      <c r="D36" s="19" t="n">
        <v>0</v>
      </c>
      <c r="E36" s="11" t="n"/>
      <c r="F36" s="11" t="n"/>
    </row>
    <row r="37" ht="19" customHeight="1">
      <c r="A37" s="11" t="inlineStr">
        <is>
          <t>Частичная компенсация брака</t>
        </is>
      </c>
      <c r="B37" s="11" t="n"/>
      <c r="C37" s="11" t="n"/>
      <c r="D37" s="19" t="n">
        <v>0</v>
      </c>
      <c r="E37" s="11" t="n"/>
      <c r="F37" s="11" t="n"/>
    </row>
    <row r="38" ht="19" customHeight="1">
      <c r="A38" s="11" t="inlineStr">
        <is>
          <t>Корректировка эквайринга</t>
        </is>
      </c>
      <c r="B38" s="11" t="n"/>
      <c r="C38" s="11" t="n"/>
      <c r="D38" s="19" t="n">
        <v>0</v>
      </c>
      <c r="E38" s="11" t="n"/>
      <c r="F38" s="11" t="n"/>
    </row>
    <row r="39" ht="19" customHeight="1">
      <c r="A39" s="11" t="inlineStr">
        <is>
          <t>Авансовая оплата за товар без движения</t>
        </is>
      </c>
      <c r="B39" s="11" t="n"/>
      <c r="C39" s="11" t="n"/>
      <c r="D39" s="19" t="n">
        <v>0</v>
      </c>
      <c r="E39" s="11" t="n"/>
      <c r="F39" s="11" t="n"/>
    </row>
    <row r="40" ht="19" customHeight="1">
      <c r="A40" s="11" t="inlineStr">
        <is>
          <t>Корректная продажа</t>
        </is>
      </c>
      <c r="B40" s="11" t="n"/>
      <c r="C40" s="19" t="n">
        <v>0</v>
      </c>
      <c r="D40" s="19" t="n">
        <v>0</v>
      </c>
      <c r="E40" s="11" t="n"/>
      <c r="F40" s="11" t="n"/>
    </row>
    <row r="41" ht="19" customHeight="1">
      <c r="A41" s="11" t="inlineStr">
        <is>
          <t>Корректировка от вб</t>
        </is>
      </c>
      <c r="B41" s="11" t="n"/>
      <c r="C41" s="11" t="n"/>
      <c r="D41" s="19" t="n">
        <v>0</v>
      </c>
      <c r="E41" s="11" t="n"/>
      <c r="F41" s="11" t="n"/>
    </row>
    <row r="42" ht="19" customHeight="1">
      <c r="A42" s="11" t="inlineStr">
        <is>
          <t>Сторно продаж</t>
        </is>
      </c>
      <c r="B42" s="11" t="n"/>
      <c r="C42" s="11" t="n"/>
      <c r="D42" s="19" t="n">
        <v>0</v>
      </c>
      <c r="E42" s="11" t="n"/>
      <c r="F42" s="11" t="n"/>
    </row>
    <row r="43" ht="19" customHeight="1">
      <c r="A43" s="11" t="inlineStr">
        <is>
          <t>Доплаты</t>
        </is>
      </c>
      <c r="B43" s="11" t="n"/>
      <c r="C43" s="11" t="n"/>
      <c r="D43" s="19" t="n">
        <v>0</v>
      </c>
      <c r="E43" s="11" t="n"/>
      <c r="F43" s="11" t="n"/>
    </row>
    <row r="44" ht="19" customHeight="1">
      <c r="A44" s="8" t="inlineStr">
        <is>
          <t>Продажи</t>
        </is>
      </c>
      <c r="B44" s="11" t="n"/>
      <c r="C44" s="10">
        <f>C14</f>
        <v/>
      </c>
      <c r="D44" s="9">
        <f>D14</f>
        <v/>
      </c>
      <c r="E44" s="11" t="n"/>
      <c r="F44" s="11" t="n"/>
    </row>
    <row r="45" ht="19" customHeight="1">
      <c r="A45" s="8" t="inlineStr">
        <is>
          <t>Перевел на р/сч</t>
        </is>
      </c>
      <c r="B45" s="11" t="n"/>
      <c r="C45" s="11" t="n"/>
      <c r="D45" s="9">
        <f>D44-D16-D21-D22-D23</f>
        <v/>
      </c>
      <c r="E45" s="11" t="n"/>
      <c r="F45" s="11" t="n"/>
    </row>
    <row r="46" ht="19" customHeight="1">
      <c r="A46" s="24" t="inlineStr">
        <is>
          <t>Затраты на себестоимость</t>
        </is>
      </c>
      <c r="B46" s="11" t="n"/>
      <c r="C46" s="11" t="n"/>
      <c r="D46" s="25" t="n">
        <v>40270</v>
      </c>
      <c r="E46" s="11" t="n"/>
      <c r="F46" s="26">
        <f>D46/D44</f>
        <v/>
      </c>
    </row>
    <row r="47" ht="19" customHeight="1">
      <c r="A47" s="11" t="inlineStr">
        <is>
          <t>Налог (приблизительно)</t>
        </is>
      </c>
      <c r="B47" s="27" t="n">
        <v>0.08</v>
      </c>
      <c r="C47" s="11" t="n"/>
      <c r="D47" s="19">
        <f>C44*B47</f>
        <v/>
      </c>
      <c r="E47" s="11" t="n"/>
      <c r="F47" s="26">
        <f>B47</f>
        <v/>
      </c>
    </row>
    <row r="48" ht="19" customHeight="1">
      <c r="A48" s="28" t="inlineStr">
        <is>
          <t>Чистая выручка</t>
        </is>
      </c>
      <c r="B48" s="11" t="n"/>
      <c r="C48" s="11" t="n"/>
      <c r="D48" s="29">
        <f>D45-D46-D47</f>
        <v/>
      </c>
      <c r="E48" s="11" t="n"/>
      <c r="F48" s="30">
        <f>D48/D44</f>
        <v/>
      </c>
    </row>
  </sheetData>
  <mergeCells count="14">
    <mergeCell ref="A4:B4"/>
    <mergeCell ref="A2:F2"/>
    <mergeCell ref="D4"/>
    <mergeCell ref="E4:F4"/>
    <mergeCell ref="E6:F6"/>
    <mergeCell ref="C4"/>
    <mergeCell ref="C5"/>
    <mergeCell ref="A1:F1"/>
    <mergeCell ref="A5:B5"/>
    <mergeCell ref="D6"/>
    <mergeCell ref="D5"/>
    <mergeCell ref="E5:F5"/>
    <mergeCell ref="C6"/>
    <mergeCell ref="A6:B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39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6" customHeight="1">
      <c r="A1" s="1" t="inlineStr">
        <is>
          <t>КАЛЬКУЛЯЦИЯ СЕБЕСТОИМОСТИ ТОВАРОВ (COGS)</t>
        </is>
      </c>
      <c r="B1" s="1" t="n"/>
      <c r="C1" s="1" t="n"/>
      <c r="D1" s="1" t="n"/>
      <c r="E1" s="1" t="n"/>
      <c r="F1" s="1" t="n"/>
      <c r="G1" s="1" t="n"/>
    </row>
    <row r="2" ht="18" customHeight="1">
      <c r="A2" s="2" t="inlineStr">
        <is>
          <t>Справочник затрат на единицу продукции: закупка, фурнитура, упаковка, маркировка Честный Знак</t>
        </is>
      </c>
      <c r="B2" s="2" t="n"/>
      <c r="C2" s="2" t="n"/>
      <c r="D2" s="2" t="n"/>
      <c r="E2" s="2" t="n"/>
      <c r="F2" s="2" t="n"/>
      <c r="G2" s="2" t="n"/>
    </row>
    <row r="3"/>
    <row r="4" ht="22" customHeight="1">
      <c r="A4" s="6" t="inlineStr">
        <is>
          <t>Артикул продавца</t>
        </is>
      </c>
      <c r="B4" s="6" t="inlineStr">
        <is>
          <t>Артикул WB</t>
        </is>
      </c>
      <c r="C4" s="6" t="inlineStr">
        <is>
          <t>Наименование товара</t>
        </is>
      </c>
      <c r="D4" s="6" t="inlineStr">
        <is>
          <t>Закупка / Пошив</t>
        </is>
      </c>
      <c r="E4" s="6" t="inlineStr">
        <is>
          <t>Упаковка и маркировка</t>
        </is>
      </c>
      <c r="F4" s="6" t="inlineStr">
        <is>
          <t>Логистика до фулфилмента</t>
        </is>
      </c>
      <c r="G4" s="6" t="inlineStr">
        <is>
          <t>ИТОГО себестоимость 1 шт.</t>
        </is>
      </c>
    </row>
    <row r="5" ht="19" customHeight="1">
      <c r="A5" s="17" t="inlineStr">
        <is>
          <t>OBBA-SH-01</t>
        </is>
      </c>
      <c r="B5" s="31" t="n">
        <v>168924011</v>
      </c>
      <c r="C5" s="17" t="inlineStr">
        <is>
          <t>Ботинки женские демисезонные кожаные</t>
        </is>
      </c>
      <c r="D5" s="19" t="n">
        <v>1250</v>
      </c>
      <c r="E5" s="19" t="n">
        <v>110</v>
      </c>
      <c r="F5" s="19" t="n">
        <v>90</v>
      </c>
      <c r="G5" s="25">
        <f>SUM(D5:F5)</f>
        <v/>
      </c>
    </row>
    <row r="6" ht="19" customHeight="1">
      <c r="A6" s="12" t="inlineStr">
        <is>
          <t>OBBA-SH-02</t>
        </is>
      </c>
      <c r="B6" s="32" t="n">
        <v>168924012</v>
      </c>
      <c r="C6" s="12" t="inlineStr">
        <is>
          <t>Лоферы женские классические черные</t>
        </is>
      </c>
      <c r="D6" s="33" t="n">
        <v>950</v>
      </c>
      <c r="E6" s="33" t="n">
        <v>95</v>
      </c>
      <c r="F6" s="33" t="n">
        <v>75</v>
      </c>
      <c r="G6" s="25">
        <f>SUM(D6:F6)</f>
        <v/>
      </c>
    </row>
    <row r="7" ht="19" customHeight="1">
      <c r="A7" s="17" t="inlineStr">
        <is>
          <t>OBBA-SN-01</t>
        </is>
      </c>
      <c r="B7" s="31" t="n">
        <v>175412030</v>
      </c>
      <c r="C7" s="17" t="inlineStr">
        <is>
          <t>Кроссовки базовые белые унисекс</t>
        </is>
      </c>
      <c r="D7" s="19" t="n">
        <v>820</v>
      </c>
      <c r="E7" s="19" t="n">
        <v>90</v>
      </c>
      <c r="F7" s="19" t="n">
        <v>70</v>
      </c>
      <c r="G7" s="25">
        <f>SUM(D7:F7)</f>
        <v/>
      </c>
    </row>
    <row r="8" ht="19" customHeight="1">
      <c r="A8" s="12" t="inlineStr">
        <is>
          <t>OBBA-BT-03</t>
        </is>
      </c>
      <c r="B8" s="32" t="n">
        <v>184501290</v>
      </c>
      <c r="C8" s="12" t="inlineStr">
        <is>
          <t>Сапоги зимние на утолщенной подошве</t>
        </is>
      </c>
      <c r="D8" s="33" t="n">
        <v>1680</v>
      </c>
      <c r="E8" s="33" t="n">
        <v>130</v>
      </c>
      <c r="F8" s="33" t="n">
        <v>110</v>
      </c>
      <c r="G8" s="25">
        <f>SUM(D8:F8)</f>
        <v/>
      </c>
    </row>
    <row r="9" ht="19" customHeight="1">
      <c r="A9" s="17" t="inlineStr">
        <is>
          <t>OBBA-SL-05</t>
        </is>
      </c>
      <c r="B9" s="31" t="n">
        <v>192834105</v>
      </c>
      <c r="C9" s="17" t="inlineStr">
        <is>
          <t>Туфли-лодочки вечерние на шпильке</t>
        </is>
      </c>
      <c r="D9" s="19" t="n">
        <v>890</v>
      </c>
      <c r="E9" s="19" t="n">
        <v>100</v>
      </c>
      <c r="F9" s="19" t="n">
        <v>80</v>
      </c>
      <c r="G9" s="25">
        <f>SUM(D9:F9)</f>
        <v/>
      </c>
    </row>
    <row r="10" ht="19" customHeight="1">
      <c r="A10" s="12" t="inlineStr">
        <is>
          <t>OBBA-SD-02</t>
        </is>
      </c>
      <c r="B10" s="32" t="n">
        <v>199341502</v>
      </c>
      <c r="C10" s="12" t="inlineStr">
        <is>
          <t>Босоножки летние с открытым мысом</t>
        </is>
      </c>
      <c r="D10" s="33" t="n">
        <v>680</v>
      </c>
      <c r="E10" s="33" t="n">
        <v>85</v>
      </c>
      <c r="F10" s="33" t="n">
        <v>65</v>
      </c>
      <c r="G10" s="25">
        <f>SUM(D10:F10)</f>
        <v/>
      </c>
    </row>
    <row r="11" ht="22" customHeight="1">
      <c r="A11" s="34" t="inlineStr">
        <is>
          <t>СРЕДНЕЕ ПО НОМЕНКЛАТУРЕ</t>
        </is>
      </c>
      <c r="B11" s="34" t="n"/>
      <c r="C11" s="34" t="n"/>
      <c r="D11" s="35">
        <f>AVERAGE(D5:D10)</f>
        <v/>
      </c>
      <c r="E11" s="35">
        <f>AVERAGE(E5:E10)</f>
        <v/>
      </c>
      <c r="F11" s="35">
        <f>AVERAGE(F5:F10)</f>
        <v/>
      </c>
      <c r="G11" s="35">
        <f>AVERAGE(G5:G10)</f>
        <v/>
      </c>
    </row>
  </sheetData>
  <mergeCells count="3">
    <mergeCell ref="A11:C11"/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6" customHeight="1">
      <c r="A1" s="1" t="inlineStr">
        <is>
          <t>СПРАВОЧНИК НОМЕНКЛАТУРЫ И ГАБАРИТОВ ТОВАРОВ</t>
        </is>
      </c>
      <c r="B1" s="1" t="n"/>
      <c r="C1" s="1" t="n"/>
      <c r="D1" s="1" t="n"/>
      <c r="E1" s="1" t="n"/>
      <c r="F1" s="1" t="n"/>
      <c r="G1" s="1" t="n"/>
    </row>
    <row r="2" ht="18" customHeight="1">
      <c r="A2" s="2" t="inlineStr">
        <is>
          <t>Параметры упаковки, весогабаритные характеристики (ВГХ) и базовые цены продажи</t>
        </is>
      </c>
      <c r="B2" s="2" t="n"/>
      <c r="C2" s="2" t="n"/>
      <c r="D2" s="2" t="n"/>
      <c r="E2" s="2" t="n"/>
      <c r="F2" s="2" t="n"/>
      <c r="G2" s="2" t="n"/>
    </row>
    <row r="3"/>
    <row r="4" ht="22" customHeight="1">
      <c r="A4" s="6" t="inlineStr">
        <is>
          <t>Артикул продавца</t>
        </is>
      </c>
      <c r="B4" s="6" t="inlineStr">
        <is>
          <t>Артикул WB</t>
        </is>
      </c>
      <c r="C4" s="6" t="inlineStr">
        <is>
          <t>Категория</t>
        </is>
      </c>
      <c r="D4" s="6" t="inlineStr">
        <is>
          <t>Бренд</t>
        </is>
      </c>
      <c r="E4" s="6" t="inlineStr">
        <is>
          <t>Длина (см)</t>
        </is>
      </c>
      <c r="F4" s="6" t="inlineStr">
        <is>
          <t>Ширина (см)</t>
        </is>
      </c>
      <c r="G4" s="6" t="inlineStr">
        <is>
          <t>Высота (см)</t>
        </is>
      </c>
      <c r="H4" s="6" t="inlineStr">
        <is>
          <t>Объем (литры)</t>
        </is>
      </c>
      <c r="I4" s="6" t="inlineStr">
        <is>
          <t>Базовая цена WB (руб.)</t>
        </is>
      </c>
    </row>
    <row r="5" ht="19" customHeight="1">
      <c r="A5" s="17" t="inlineStr">
        <is>
          <t>OBBA-SH-01</t>
        </is>
      </c>
      <c r="B5" s="31" t="n">
        <v>168924011</v>
      </c>
      <c r="C5" s="17" t="inlineStr">
        <is>
          <t>Ботинки</t>
        </is>
      </c>
      <c r="D5" s="17" t="inlineStr">
        <is>
          <t>OBBA</t>
        </is>
      </c>
      <c r="E5" s="36" t="n">
        <v>32</v>
      </c>
      <c r="F5" s="36" t="n">
        <v>22</v>
      </c>
      <c r="G5" s="36" t="n">
        <v>12</v>
      </c>
      <c r="H5" s="37">
        <f>(E5*F5*G5)/1000</f>
        <v/>
      </c>
      <c r="I5" s="18" t="n">
        <v>2890</v>
      </c>
    </row>
    <row r="6" ht="19" customHeight="1">
      <c r="A6" s="12" t="inlineStr">
        <is>
          <t>OBBA-SH-02</t>
        </is>
      </c>
      <c r="B6" s="32" t="n">
        <v>168924012</v>
      </c>
      <c r="C6" s="12" t="inlineStr">
        <is>
          <t>Лоферы</t>
        </is>
      </c>
      <c r="D6" s="12" t="inlineStr">
        <is>
          <t>OBBA</t>
        </is>
      </c>
      <c r="E6" s="38" t="n">
        <v>30</v>
      </c>
      <c r="F6" s="38" t="n">
        <v>18</v>
      </c>
      <c r="G6" s="38" t="n">
        <v>11</v>
      </c>
      <c r="H6" s="37">
        <f>(E6*F6*G6)/1000</f>
        <v/>
      </c>
      <c r="I6" s="13" t="n">
        <v>2350</v>
      </c>
    </row>
    <row r="7" ht="19" customHeight="1">
      <c r="A7" s="17" t="inlineStr">
        <is>
          <t>OBBA-SN-01</t>
        </is>
      </c>
      <c r="B7" s="31" t="n">
        <v>175412030</v>
      </c>
      <c r="C7" s="17" t="inlineStr">
        <is>
          <t>Кроссовки</t>
        </is>
      </c>
      <c r="D7" s="17" t="inlineStr">
        <is>
          <t>OBBA</t>
        </is>
      </c>
      <c r="E7" s="36" t="n">
        <v>31</v>
      </c>
      <c r="F7" s="36" t="n">
        <v>20</v>
      </c>
      <c r="G7" s="36" t="n">
        <v>12</v>
      </c>
      <c r="H7" s="37">
        <f>(E7*F7*G7)/1000</f>
        <v/>
      </c>
      <c r="I7" s="18" t="n">
        <v>1990</v>
      </c>
    </row>
    <row r="8" ht="19" customHeight="1">
      <c r="A8" s="12" t="inlineStr">
        <is>
          <t>OBBA-BT-03</t>
        </is>
      </c>
      <c r="B8" s="32" t="n">
        <v>184501290</v>
      </c>
      <c r="C8" s="12" t="inlineStr">
        <is>
          <t>Сапоги</t>
        </is>
      </c>
      <c r="D8" s="12" t="inlineStr">
        <is>
          <t>OBBA</t>
        </is>
      </c>
      <c r="E8" s="38" t="n">
        <v>38</v>
      </c>
      <c r="F8" s="38" t="n">
        <v>28</v>
      </c>
      <c r="G8" s="38" t="n">
        <v>14</v>
      </c>
      <c r="H8" s="37">
        <f>(E8*F8*G8)/1000</f>
        <v/>
      </c>
      <c r="I8" s="13" t="n">
        <v>3990</v>
      </c>
    </row>
    <row r="9" ht="19" customHeight="1">
      <c r="A9" s="17" t="inlineStr">
        <is>
          <t>OBBA-SL-05</t>
        </is>
      </c>
      <c r="B9" s="31" t="n">
        <v>192834105</v>
      </c>
      <c r="C9" s="17" t="inlineStr">
        <is>
          <t>Туфли</t>
        </is>
      </c>
      <c r="D9" s="17" t="inlineStr">
        <is>
          <t>OBBA</t>
        </is>
      </c>
      <c r="E9" s="36" t="n">
        <v>28</v>
      </c>
      <c r="F9" s="36" t="n">
        <v>16</v>
      </c>
      <c r="G9" s="36" t="n">
        <v>10</v>
      </c>
      <c r="H9" s="37">
        <f>(E9*F9*G9)/1000</f>
        <v/>
      </c>
      <c r="I9" s="18" t="n">
        <v>2190</v>
      </c>
    </row>
    <row r="10" ht="19" customHeight="1">
      <c r="A10" s="12" t="inlineStr">
        <is>
          <t>OBBA-SD-02</t>
        </is>
      </c>
      <c r="B10" s="32" t="n">
        <v>199341502</v>
      </c>
      <c r="C10" s="12" t="inlineStr">
        <is>
          <t>Босоножки</t>
        </is>
      </c>
      <c r="D10" s="12" t="inlineStr">
        <is>
          <t>OBBA</t>
        </is>
      </c>
      <c r="E10" s="38" t="n">
        <v>27</v>
      </c>
      <c r="F10" s="38" t="n">
        <v>15</v>
      </c>
      <c r="G10" s="38" t="n">
        <v>9</v>
      </c>
      <c r="H10" s="37">
        <f>(E10*F10*G10)/1000</f>
        <v/>
      </c>
      <c r="I10" s="13" t="n">
        <v>1690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2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6" customHeight="1">
      <c r="A1" s="1" t="inlineStr">
        <is>
          <t>РЕЕСТР ЗАКАЗОВ И ПРОДАЖ ЗА ОТЧЕТНУЮ НЕДЕЛЮ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18" customHeight="1">
      <c r="A2" s="2" t="inlineStr">
        <is>
          <t>Детализация реализации по 62 заказам с расчетом цены до скидки, СПП, комиссии и логистики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/>
    <row r="4" ht="22" customHeight="1">
      <c r="A4" s="6" t="inlineStr">
        <is>
          <t>Дата</t>
        </is>
      </c>
      <c r="B4" s="6" t="inlineStr">
        <is>
          <t>Номер заказа</t>
        </is>
      </c>
      <c r="C4" s="6" t="inlineStr">
        <is>
          <t>Артикул продавца</t>
        </is>
      </c>
      <c r="D4" s="6" t="inlineStr">
        <is>
          <t>Наименование</t>
        </is>
      </c>
      <c r="E4" s="6" t="inlineStr">
        <is>
          <t>Кол-во</t>
        </is>
      </c>
      <c r="F4" s="6" t="inlineStr">
        <is>
          <t>Розничная цена (до СПП)</t>
        </is>
      </c>
      <c r="G4" s="6" t="inlineStr">
        <is>
          <t>Цена реализации (с СПП)</t>
        </is>
      </c>
      <c r="H4" s="6" t="inlineStr">
        <is>
          <t>Логистика WB (руб.)</t>
        </is>
      </c>
      <c r="I4" s="6" t="inlineStr">
        <is>
          <t>Себестоимость партии</t>
        </is>
      </c>
    </row>
    <row r="5" ht="19" customHeight="1">
      <c r="A5" s="17" t="inlineStr">
        <is>
          <t>06.10.2025</t>
        </is>
      </c>
      <c r="B5" s="31" t="n">
        <v>84920191</v>
      </c>
      <c r="C5" s="17" t="inlineStr">
        <is>
          <t>OBBA-SH-01</t>
        </is>
      </c>
      <c r="D5" s="17" t="inlineStr">
        <is>
          <t>Ботинки женские демисезонные</t>
        </is>
      </c>
      <c r="E5" s="39" t="n">
        <v>12</v>
      </c>
      <c r="F5" s="19" t="n">
        <v>34680</v>
      </c>
      <c r="G5" s="18" t="n">
        <v>29400</v>
      </c>
      <c r="H5" s="19" t="n">
        <v>3960</v>
      </c>
      <c r="I5" s="19" t="n">
        <v>17400</v>
      </c>
    </row>
    <row r="6" ht="19" customHeight="1">
      <c r="A6" s="12" t="inlineStr">
        <is>
          <t>07.10.2025</t>
        </is>
      </c>
      <c r="B6" s="32" t="n">
        <v>84920245</v>
      </c>
      <c r="C6" s="12" t="inlineStr">
        <is>
          <t>OBBA-SH-02</t>
        </is>
      </c>
      <c r="D6" s="12" t="inlineStr">
        <is>
          <t>Лоферы женские черные</t>
        </is>
      </c>
      <c r="E6" s="40" t="n">
        <v>14</v>
      </c>
      <c r="F6" s="33" t="n">
        <v>32900</v>
      </c>
      <c r="G6" s="13" t="n">
        <v>27880</v>
      </c>
      <c r="H6" s="33" t="n">
        <v>4200</v>
      </c>
      <c r="I6" s="33" t="n">
        <v>15680</v>
      </c>
    </row>
    <row r="7" ht="19" customHeight="1">
      <c r="A7" s="17" t="inlineStr">
        <is>
          <t>08.10.2025</t>
        </is>
      </c>
      <c r="B7" s="31" t="n">
        <v>84920310</v>
      </c>
      <c r="C7" s="17" t="inlineStr">
        <is>
          <t>OBBA-SN-01</t>
        </is>
      </c>
      <c r="D7" s="17" t="inlineStr">
        <is>
          <t>Кроссовки базовые белые</t>
        </is>
      </c>
      <c r="E7" s="39" t="n">
        <v>16</v>
      </c>
      <c r="F7" s="19" t="n">
        <v>31840</v>
      </c>
      <c r="G7" s="18" t="n">
        <v>26990</v>
      </c>
      <c r="H7" s="19" t="n">
        <v>4960</v>
      </c>
      <c r="I7" s="19" t="n">
        <v>15680</v>
      </c>
    </row>
    <row r="8" ht="19" customHeight="1">
      <c r="A8" s="12" t="inlineStr">
        <is>
          <t>09.10.2025</t>
        </is>
      </c>
      <c r="B8" s="32" t="n">
        <v>84920489</v>
      </c>
      <c r="C8" s="12" t="inlineStr">
        <is>
          <t>OBBA-BT-03</t>
        </is>
      </c>
      <c r="D8" s="12" t="inlineStr">
        <is>
          <t>Сапоги зимние кожаные</t>
        </is>
      </c>
      <c r="E8" s="40" t="n">
        <v>8</v>
      </c>
      <c r="F8" s="33" t="n">
        <v>31920</v>
      </c>
      <c r="G8" s="13" t="n">
        <v>27120</v>
      </c>
      <c r="H8" s="33" t="n">
        <v>2880</v>
      </c>
      <c r="I8" s="33" t="n">
        <v>15360</v>
      </c>
    </row>
    <row r="9" ht="19" customHeight="1">
      <c r="A9" s="17" t="inlineStr">
        <is>
          <t>10.10.2025</t>
        </is>
      </c>
      <c r="B9" s="31" t="n">
        <v>84920551</v>
      </c>
      <c r="C9" s="17" t="inlineStr">
        <is>
          <t>OBBA-SL-05</t>
        </is>
      </c>
      <c r="D9" s="17" t="inlineStr">
        <is>
          <t>Туфли-лодочки вечерние</t>
        </is>
      </c>
      <c r="E9" s="39" t="n">
        <v>7</v>
      </c>
      <c r="F9" s="19" t="n">
        <v>15330</v>
      </c>
      <c r="G9" s="18" t="n">
        <v>13010</v>
      </c>
      <c r="H9" s="19" t="n">
        <v>2100</v>
      </c>
      <c r="I9" s="19" t="n">
        <v>7490</v>
      </c>
    </row>
    <row r="10" ht="19" customHeight="1">
      <c r="A10" s="12" t="inlineStr">
        <is>
          <t>11.10.2025</t>
        </is>
      </c>
      <c r="B10" s="32" t="n">
        <v>84920682</v>
      </c>
      <c r="C10" s="12" t="inlineStr">
        <is>
          <t>OBBA-SD-02</t>
        </is>
      </c>
      <c r="D10" s="12" t="inlineStr">
        <is>
          <t>Босоножки летние открытые</t>
        </is>
      </c>
      <c r="E10" s="40" t="n">
        <v>5</v>
      </c>
      <c r="F10" s="33" t="n">
        <v>8450</v>
      </c>
      <c r="G10" s="13" t="n">
        <v>7180</v>
      </c>
      <c r="H10" s="33" t="n">
        <v>1134.67</v>
      </c>
      <c r="I10" s="33" t="n">
        <v>4150</v>
      </c>
    </row>
    <row r="11" ht="22" customHeight="1">
      <c r="A11" s="34" t="inlineStr">
        <is>
          <t>ИТОГО ПО ЗАКАЗАМ НЕДЕЛИ</t>
        </is>
      </c>
      <c r="B11" s="34" t="n"/>
      <c r="C11" s="34" t="n"/>
      <c r="D11" s="34" t="n"/>
      <c r="E11" s="41">
        <f>SUM(E5:E10)</f>
        <v/>
      </c>
      <c r="F11" s="35">
        <f>SUM(F5:F10)</f>
        <v/>
      </c>
      <c r="G11" s="35">
        <f>SUM(G5:G10)</f>
        <v/>
      </c>
      <c r="H11" s="35">
        <f>SUM(H5:H10)</f>
        <v/>
      </c>
      <c r="I11" s="35">
        <f>SUM(I5:I10)</f>
        <v/>
      </c>
    </row>
  </sheetData>
  <mergeCells count="3">
    <mergeCell ref="A1:I1"/>
    <mergeCell ref="A2:I2"/>
    <mergeCell ref="A11:D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6" customHeight="1">
      <c r="A1" s="1" t="inlineStr">
        <is>
          <t>ТАРИФЫ И СТАВКИ ВОЗНАГРАЖДЕНИЯ WILDBERRIES (КВВ)</t>
        </is>
      </c>
      <c r="B1" s="1" t="n"/>
      <c r="C1" s="1" t="n"/>
      <c r="D1" s="1" t="n"/>
      <c r="E1" s="1" t="n"/>
      <c r="F1" s="1" t="n"/>
    </row>
    <row r="2" ht="18" customHeight="1">
      <c r="A2" s="2" t="inlineStr">
        <is>
          <t>Базовые ставки комиссии по категориям и коэффициенты логистики основных складов WB</t>
        </is>
      </c>
      <c r="B2" s="2" t="n"/>
      <c r="C2" s="2" t="n"/>
      <c r="D2" s="2" t="n"/>
      <c r="E2" s="2" t="n"/>
      <c r="F2" s="2" t="n"/>
    </row>
    <row r="3"/>
    <row r="4" ht="22" customHeight="1">
      <c r="A4" s="6" t="inlineStr">
        <is>
          <t>Категория товара</t>
        </is>
      </c>
      <c r="B4" s="6" t="inlineStr">
        <is>
          <t>Склад отгрузки</t>
        </is>
      </c>
      <c r="C4" s="6" t="inlineStr">
        <is>
          <t>Базовая комиссия WB %</t>
        </is>
      </c>
      <c r="D4" s="6" t="inlineStr">
        <is>
          <t>Скидка СПП (софинансирование WB)</t>
        </is>
      </c>
      <c r="E4" s="6" t="inlineStr">
        <is>
          <t>Фактическая комиссия WB %</t>
        </is>
      </c>
      <c r="F4" s="6" t="inlineStr">
        <is>
          <t>Статус тарифа</t>
        </is>
      </c>
    </row>
    <row r="5" ht="19" customHeight="1">
      <c r="A5" s="17" t="inlineStr">
        <is>
          <t>Обувь женская</t>
        </is>
      </c>
      <c r="B5" s="17" t="inlineStr">
        <is>
          <t>Коледино (FBO)</t>
        </is>
      </c>
      <c r="C5" s="42" t="n">
        <v>0.23</v>
      </c>
      <c r="D5" s="42" t="n">
        <v>0.15</v>
      </c>
      <c r="E5" s="43">
        <f>C5-D5*0.1</f>
        <v/>
      </c>
      <c r="F5" s="44" t="inlineStr">
        <is>
          <t>ACTIVE</t>
        </is>
      </c>
    </row>
    <row r="6" ht="19" customHeight="1">
      <c r="A6" s="12" t="inlineStr">
        <is>
          <t>Обувь женская</t>
        </is>
      </c>
      <c r="B6" s="12" t="inlineStr">
        <is>
          <t>Электросталь (FBO)</t>
        </is>
      </c>
      <c r="C6" s="45" t="n">
        <v>0.23</v>
      </c>
      <c r="D6" s="45" t="n">
        <v>0.15</v>
      </c>
      <c r="E6" s="46">
        <f>C6-D6*0.1</f>
        <v/>
      </c>
      <c r="F6" s="44" t="inlineStr">
        <is>
          <t>ACTIVE</t>
        </is>
      </c>
    </row>
    <row r="7" ht="19" customHeight="1">
      <c r="A7" s="17" t="inlineStr">
        <is>
          <t>Обувь женская</t>
        </is>
      </c>
      <c r="B7" s="17" t="inlineStr">
        <is>
          <t>Тула (Алексин)</t>
        </is>
      </c>
      <c r="C7" s="42" t="n">
        <v>0.23</v>
      </c>
      <c r="D7" s="42" t="n">
        <v>0.15</v>
      </c>
      <c r="E7" s="43">
        <f>C7-D7*0.1</f>
        <v/>
      </c>
      <c r="F7" s="44" t="inlineStr">
        <is>
          <t>ACTIVE</t>
        </is>
      </c>
    </row>
    <row r="8" ht="19" customHeight="1">
      <c r="A8" s="12" t="inlineStr">
        <is>
          <t>Кроссовки и кеды</t>
        </is>
      </c>
      <c r="B8" s="12" t="inlineStr">
        <is>
          <t>Коледино (FBO)</t>
        </is>
      </c>
      <c r="C8" s="45" t="n">
        <v>0.21</v>
      </c>
      <c r="D8" s="45" t="n">
        <v>0.14</v>
      </c>
      <c r="E8" s="46">
        <f>C8-D8*0.1</f>
        <v/>
      </c>
      <c r="F8" s="44" t="inlineStr">
        <is>
          <t>ACTIVE</t>
        </is>
      </c>
    </row>
    <row r="9" ht="19" customHeight="1">
      <c r="A9" s="17" t="inlineStr">
        <is>
          <t>Одежда и аксессуары</t>
        </is>
      </c>
      <c r="B9" s="17" t="inlineStr">
        <is>
          <t>Казань (FBO)</t>
        </is>
      </c>
      <c r="C9" s="42" t="n">
        <v>0.25</v>
      </c>
      <c r="D9" s="42" t="n">
        <v>0.16</v>
      </c>
      <c r="E9" s="43">
        <f>C9-D9*0.1</f>
        <v/>
      </c>
      <c r="F9" s="44" t="inlineStr">
        <is>
          <t>ACTIVE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6" customHeight="1">
      <c r="A1" s="1" t="inlineStr">
        <is>
          <t>СЫРЫЕ ДАННЫЕ ЕЖЕНЕДЕЛЬНОГО ОТЧЕТА РЕАЛИЗАЦИИ WILDBERRIES</t>
        </is>
      </c>
      <c r="B1" s="1" t="n"/>
      <c r="C1" s="1" t="n"/>
      <c r="D1" s="1" t="n"/>
      <c r="E1" s="1" t="n"/>
      <c r="F1" s="1" t="n"/>
      <c r="G1" s="1" t="n"/>
      <c r="H1" s="1" t="n"/>
    </row>
    <row r="2" ht="18" customHeight="1">
      <c r="A2" s="2" t="inlineStr">
        <is>
          <t>Формат стандартной выгрузки детализации из личного кабинета WB Partners для автоматической обработки</t>
        </is>
      </c>
      <c r="B2" s="2" t="n"/>
      <c r="C2" s="2" t="n"/>
      <c r="D2" s="2" t="n"/>
      <c r="E2" s="2" t="n"/>
      <c r="F2" s="2" t="n"/>
      <c r="G2" s="2" t="n"/>
      <c r="H2" s="2" t="n"/>
    </row>
    <row r="3"/>
    <row r="4" ht="22" customHeight="1">
      <c r="A4" s="6" t="inlineStr">
        <is>
          <t>Номер строки</t>
        </is>
      </c>
      <c r="B4" s="6" t="inlineStr">
        <is>
          <t>Артикул поставщика</t>
        </is>
      </c>
      <c r="C4" s="6" t="inlineStr">
        <is>
          <t>Баркод</t>
        </is>
      </c>
      <c r="D4" s="6" t="inlineStr">
        <is>
          <t>Кол-во продаж</t>
        </is>
      </c>
      <c r="E4" s="6" t="inlineStr">
        <is>
          <t>Цена розничная (руб.)</t>
        </is>
      </c>
      <c r="F4" s="6" t="inlineStr">
        <is>
          <t>Согласованная скидка %</t>
        </is>
      </c>
      <c r="G4" s="6" t="inlineStr">
        <is>
          <t>К перечислению за товар</t>
        </is>
      </c>
      <c r="H4" s="6" t="inlineStr">
        <is>
          <t>Стоимость логистики</t>
        </is>
      </c>
    </row>
    <row r="5" ht="19" customHeight="1">
      <c r="A5" s="31" t="n">
        <v>1</v>
      </c>
      <c r="B5" s="17" t="inlineStr">
        <is>
          <t>OBBA-SH-01</t>
        </is>
      </c>
      <c r="C5" s="31" t="n">
        <v>2038910294101</v>
      </c>
      <c r="D5" s="31" t="n">
        <v>12</v>
      </c>
      <c r="E5" s="19" t="n">
        <v>2890</v>
      </c>
      <c r="F5" s="42" t="n">
        <v>0.15</v>
      </c>
      <c r="G5" s="18" t="n">
        <v>29400</v>
      </c>
      <c r="H5" s="19" t="n">
        <v>3960</v>
      </c>
    </row>
    <row r="6" ht="19" customHeight="1">
      <c r="A6" s="32" t="n">
        <v>2</v>
      </c>
      <c r="B6" s="12" t="inlineStr">
        <is>
          <t>OBBA-SH-02</t>
        </is>
      </c>
      <c r="C6" s="32" t="n">
        <v>2038910294102</v>
      </c>
      <c r="D6" s="32" t="n">
        <v>14</v>
      </c>
      <c r="E6" s="33" t="n">
        <v>2350</v>
      </c>
      <c r="F6" s="45" t="n">
        <v>0.15</v>
      </c>
      <c r="G6" s="13" t="n">
        <v>27880</v>
      </c>
      <c r="H6" s="33" t="n">
        <v>4200</v>
      </c>
    </row>
    <row r="7" ht="19" customHeight="1">
      <c r="A7" s="31" t="n">
        <v>3</v>
      </c>
      <c r="B7" s="17" t="inlineStr">
        <is>
          <t>OBBA-SN-01</t>
        </is>
      </c>
      <c r="C7" s="31" t="n">
        <v>2038910294103</v>
      </c>
      <c r="D7" s="31" t="n">
        <v>16</v>
      </c>
      <c r="E7" s="19" t="n">
        <v>1990</v>
      </c>
      <c r="F7" s="42" t="n">
        <v>0.15</v>
      </c>
      <c r="G7" s="18" t="n">
        <v>26990</v>
      </c>
      <c r="H7" s="19" t="n">
        <v>4960</v>
      </c>
    </row>
    <row r="8" ht="19" customHeight="1">
      <c r="A8" s="32" t="n">
        <v>4</v>
      </c>
      <c r="B8" s="12" t="inlineStr">
        <is>
          <t>OBBA-BT-03</t>
        </is>
      </c>
      <c r="C8" s="32" t="n">
        <v>2038910294104</v>
      </c>
      <c r="D8" s="32" t="n">
        <v>8</v>
      </c>
      <c r="E8" s="33" t="n">
        <v>3990</v>
      </c>
      <c r="F8" s="45" t="n">
        <v>0.15</v>
      </c>
      <c r="G8" s="13" t="n">
        <v>27120</v>
      </c>
      <c r="H8" s="33" t="n">
        <v>2880</v>
      </c>
    </row>
    <row r="9" ht="19" customHeight="1">
      <c r="A9" s="31" t="n">
        <v>5</v>
      </c>
      <c r="B9" s="17" t="inlineStr">
        <is>
          <t>OBBA-SL-05</t>
        </is>
      </c>
      <c r="C9" s="31" t="n">
        <v>2038910294105</v>
      </c>
      <c r="D9" s="31" t="n">
        <v>7</v>
      </c>
      <c r="E9" s="19" t="n">
        <v>2190</v>
      </c>
      <c r="F9" s="42" t="n">
        <v>0.15</v>
      </c>
      <c r="G9" s="18" t="n">
        <v>13010</v>
      </c>
      <c r="H9" s="19" t="n">
        <v>2100</v>
      </c>
    </row>
    <row r="10" ht="19" customHeight="1">
      <c r="A10" s="32" t="n">
        <v>6</v>
      </c>
      <c r="B10" s="12" t="inlineStr">
        <is>
          <t>OBBA-SD-02</t>
        </is>
      </c>
      <c r="C10" s="32" t="n">
        <v>2038910294106</v>
      </c>
      <c r="D10" s="32" t="n">
        <v>5</v>
      </c>
      <c r="E10" s="33" t="n">
        <v>1690</v>
      </c>
      <c r="F10" s="45" t="n">
        <v>0.15</v>
      </c>
      <c r="G10" s="13" t="n">
        <v>7180</v>
      </c>
      <c r="H10" s="33" t="n">
        <v>1134.67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6" customHeight="1">
      <c r="A1" s="1" t="inlineStr">
        <is>
          <t>КАЛЬКУЛЯТОР ЛОГИСТИКИ WILDBERRIES ПО ГАБАРИТАМ</t>
        </is>
      </c>
      <c r="B1" s="1" t="n"/>
      <c r="C1" s="1" t="n"/>
      <c r="D1" s="1" t="n"/>
      <c r="E1" s="1" t="n"/>
      <c r="F1" s="1" t="n"/>
      <c r="G1" s="1" t="n"/>
    </row>
    <row r="2" ht="18" customHeight="1">
      <c r="A2" s="2" t="inlineStr">
        <is>
          <t>Расчет стоимости доставки по литражу: базовый тариф за 1 литр и надбавки за дополнительный объем</t>
        </is>
      </c>
      <c r="B2" s="2" t="n"/>
      <c r="C2" s="2" t="n"/>
      <c r="D2" s="2" t="n"/>
      <c r="E2" s="2" t="n"/>
      <c r="F2" s="2" t="n"/>
      <c r="G2" s="2" t="n"/>
    </row>
    <row r="3"/>
    <row r="4" ht="22" customHeight="1">
      <c r="A4" s="6" t="inlineStr">
        <is>
          <t>Артикул продавца</t>
        </is>
      </c>
      <c r="B4" s="6" t="inlineStr">
        <is>
          <t>Объем товара (литры)</t>
        </is>
      </c>
      <c r="C4" s="6" t="inlineStr">
        <is>
          <t>Базовый тариф (до 1 л)</t>
        </is>
      </c>
      <c r="D4" s="6" t="inlineStr">
        <is>
          <t>Доплата за доп. литры</t>
        </is>
      </c>
      <c r="E4" s="6" t="inlineStr">
        <is>
          <t>Коэффициент склада</t>
        </is>
      </c>
      <c r="F4" s="6" t="inlineStr">
        <is>
          <t>Итоговая логистика 1 шт.</t>
        </is>
      </c>
    </row>
    <row r="5" ht="19" customHeight="1">
      <c r="A5" s="17" t="inlineStr">
        <is>
          <t>OBBA-SH-01</t>
        </is>
      </c>
      <c r="B5" s="47" t="n">
        <v>8.449999999999999</v>
      </c>
      <c r="C5" s="19" t="n">
        <v>50</v>
      </c>
      <c r="D5" s="19" t="n">
        <v>10</v>
      </c>
      <c r="E5" s="48" t="n">
        <v>1.25</v>
      </c>
      <c r="F5" s="49">
        <f>(C5+(B5-1)*D5)*E5</f>
        <v/>
      </c>
    </row>
    <row r="6" ht="19" customHeight="1">
      <c r="A6" s="12" t="inlineStr">
        <is>
          <t>OBBA-SH-02</t>
        </is>
      </c>
      <c r="B6" s="50" t="n">
        <v>5.94</v>
      </c>
      <c r="C6" s="33" t="n">
        <v>50</v>
      </c>
      <c r="D6" s="33" t="n">
        <v>10</v>
      </c>
      <c r="E6" s="51" t="n">
        <v>1.25</v>
      </c>
      <c r="F6" s="49">
        <f>(C6+(B6-1)*D6)*E6</f>
        <v/>
      </c>
    </row>
    <row r="7" ht="19" customHeight="1">
      <c r="A7" s="17" t="inlineStr">
        <is>
          <t>OBBA-SN-01</t>
        </is>
      </c>
      <c r="B7" s="47" t="n">
        <v>7.44</v>
      </c>
      <c r="C7" s="19" t="n">
        <v>50</v>
      </c>
      <c r="D7" s="19" t="n">
        <v>10</v>
      </c>
      <c r="E7" s="48" t="n">
        <v>1.25</v>
      </c>
      <c r="F7" s="49">
        <f>(C7+(B7-1)*D7)*E7</f>
        <v/>
      </c>
    </row>
    <row r="8" ht="19" customHeight="1">
      <c r="A8" s="12" t="inlineStr">
        <is>
          <t>OBBA-BT-03</t>
        </is>
      </c>
      <c r="B8" s="50" t="n">
        <v>14.9</v>
      </c>
      <c r="C8" s="33" t="n">
        <v>50</v>
      </c>
      <c r="D8" s="33" t="n">
        <v>10</v>
      </c>
      <c r="E8" s="51" t="n">
        <v>1.25</v>
      </c>
      <c r="F8" s="49">
        <f>(C8+(B8-1)*D8)*E8</f>
        <v/>
      </c>
    </row>
    <row r="9" ht="19" customHeight="1">
      <c r="A9" s="17" t="inlineStr">
        <is>
          <t>OBBA-SL-05</t>
        </is>
      </c>
      <c r="B9" s="47" t="n">
        <v>4.48</v>
      </c>
      <c r="C9" s="19" t="n">
        <v>50</v>
      </c>
      <c r="D9" s="19" t="n">
        <v>10</v>
      </c>
      <c r="E9" s="48" t="n">
        <v>1.25</v>
      </c>
      <c r="F9" s="49">
        <f>(C9+(B9-1)*D9)*E9</f>
        <v/>
      </c>
    </row>
    <row r="10" ht="19" customHeight="1">
      <c r="A10" s="12" t="inlineStr">
        <is>
          <t>OBBA-SD-02</t>
        </is>
      </c>
      <c r="B10" s="50" t="n">
        <v>3.65</v>
      </c>
      <c r="C10" s="33" t="n">
        <v>50</v>
      </c>
      <c r="D10" s="33" t="n">
        <v>10</v>
      </c>
      <c r="E10" s="51" t="n">
        <v>1.25</v>
      </c>
      <c r="F10" s="49">
        <f>(C10+(B10-1)*D10)*E10</f>
        <v/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2026-10-14T04:26:22Z</dcterms:created>
  <dcterms:modified xmlns:dcterms="http://purl.org/dc/terms/" xmlns:xsi="http://www.w3.org/2001/XMLSchema-instance" xsi:type="dcterms:W3CDTF">2026-10-14T04:26:22Z</dcterms:modified>
</cp:coreProperties>
</file>